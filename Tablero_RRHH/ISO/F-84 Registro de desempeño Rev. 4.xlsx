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6a2670dff2367e3/Cimomet/ISO rev/"/>
    </mc:Choice>
  </mc:AlternateContent>
  <xr:revisionPtr revIDLastSave="319" documentId="13_ncr:1_{7F963382-3090-461E-B59A-E6BB36AA3309}" xr6:coauthVersionLast="47" xr6:coauthVersionMax="47" xr10:uidLastSave="{EEF4201F-934C-4A46-86B9-4C87670BEB5A}"/>
  <bookViews>
    <workbookView xWindow="-120" yWindow="-120" windowWidth="20730" windowHeight="11160" xr2:uid="{00000000-000D-0000-FFFF-FFFF00000000}"/>
  </bookViews>
  <sheets>
    <sheet name="Mensuales" sheetId="1" r:id="rId1"/>
    <sheet name="Quincen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G17" i="1"/>
  <c r="J17" i="1" s="1"/>
  <c r="I17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G2" i="2"/>
  <c r="I2" i="2"/>
  <c r="E2" i="2"/>
  <c r="C2" i="2"/>
  <c r="E2" i="1"/>
  <c r="C2" i="1"/>
  <c r="G2" i="1"/>
  <c r="I2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3" i="1"/>
  <c r="G4" i="1"/>
  <c r="G5" i="1"/>
  <c r="G6" i="1"/>
  <c r="G7" i="1"/>
  <c r="G8" i="1"/>
  <c r="G9" i="1"/>
  <c r="J9" i="1" s="1"/>
  <c r="G10" i="1"/>
  <c r="G11" i="1"/>
  <c r="G12" i="1"/>
  <c r="G13" i="1"/>
  <c r="G14" i="1"/>
  <c r="G15" i="1"/>
  <c r="G16" i="1"/>
  <c r="G3" i="1"/>
  <c r="J3" i="2"/>
  <c r="J4" i="2"/>
  <c r="J5" i="2"/>
  <c r="J6" i="2"/>
  <c r="J7" i="2"/>
  <c r="J8" i="2"/>
  <c r="J9" i="2"/>
  <c r="J10" i="2"/>
  <c r="J11" i="2"/>
  <c r="J12" i="2"/>
  <c r="J13" i="2"/>
  <c r="J14" i="2"/>
  <c r="J16" i="2"/>
  <c r="J17" i="2"/>
  <c r="J18" i="2"/>
  <c r="J19" i="2"/>
  <c r="J2" i="2"/>
  <c r="J15" i="2"/>
  <c r="J20" i="2"/>
  <c r="J8" i="1" l="1"/>
  <c r="J7" i="1"/>
  <c r="J16" i="1"/>
  <c r="J12" i="1"/>
  <c r="J11" i="1"/>
  <c r="J5" i="1"/>
  <c r="J15" i="1"/>
  <c r="J6" i="1"/>
  <c r="J10" i="1"/>
  <c r="J4" i="1"/>
  <c r="J14" i="1"/>
  <c r="J13" i="1"/>
  <c r="J2" i="1"/>
  <c r="J3" i="1"/>
</calcChain>
</file>

<file path=xl/sharedStrings.xml><?xml version="1.0" encoding="utf-8"?>
<sst xmlns="http://schemas.openxmlformats.org/spreadsheetml/2006/main" count="36" uniqueCount="20">
  <si>
    <t>Nombre y Apellido</t>
  </si>
  <si>
    <t>Ausentismo</t>
  </si>
  <si>
    <t>Puntaje Aus.</t>
  </si>
  <si>
    <t>Lleg. Tar/Ant.</t>
  </si>
  <si>
    <t>Puntaje Fue.</t>
  </si>
  <si>
    <t>Mej. Continua</t>
  </si>
  <si>
    <t>Puntaje Mej.</t>
  </si>
  <si>
    <t>Ev. Superior</t>
  </si>
  <si>
    <t>Puntaje Eva.</t>
  </si>
  <si>
    <t>Puntaje</t>
  </si>
  <si>
    <t>Faltas uso EPP</t>
  </si>
  <si>
    <t>Reprocesos</t>
  </si>
  <si>
    <t>0 A 40</t>
  </si>
  <si>
    <t>40 A 60</t>
  </si>
  <si>
    <t>60 A 100</t>
  </si>
  <si>
    <t>RESULTADOS</t>
  </si>
  <si>
    <t>Revision</t>
  </si>
  <si>
    <t>Regular</t>
  </si>
  <si>
    <t>Bueno</t>
  </si>
  <si>
    <t>Plan de accion establecido en el PG 6.01 "Capacitacion"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</si>
</sst>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3" borderId="4" xfId="0" applyFill="1" applyBorder="1" applyAlignment="1">
      <alignment horizontal="right"/>
    </xf>
    <xf numFmtId="0" fontId="0" fillId="3" borderId="5" xfId="0" applyFill="1" applyBorder="1"/>
    <xf numFmtId="0" fontId="0" fillId="4" borderId="4" xfId="0" applyFill="1" applyBorder="1" applyAlignment="1">
      <alignment horizontal="right"/>
    </xf>
    <xf numFmtId="0" fontId="0" fillId="4" borderId="5" xfId="0" applyFill="1" applyBorder="1"/>
    <xf numFmtId="0" fontId="0" fillId="5" borderId="6" xfId="0" applyFill="1" applyBorder="1" applyAlignment="1">
      <alignment horizontal="right"/>
    </xf>
    <xf numFmtId="0" fontId="0" fillId="5" borderId="7" xfId="0" applyFill="1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2" borderId="4" xfId="0" applyNumberFormat="1" applyFill="1" applyBorder="1" applyAlignment="1">
      <alignment horizontal="center" vertical="center"/>
    </xf>
    <xf numFmtId="0" fontId="0" fillId="0" borderId="0" xfId="0" quotePrefix="1"/>
    <xf numFmtId="49" fontId="0" fillId="0" borderId="4" xfId="0" applyNumberFormat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0" fontId="0" fillId="0" borderId="10" xfId="0" applyBorder="1"/>
    <xf numFmtId="0" fontId="0" fillId="0" borderId="10" xfId="0" quotePrefix="1" applyBorder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25.7109375" bestFit="1" customWidth="1"/>
    <col min="2" max="2" width="9.28515625" customWidth="1"/>
    <col min="3" max="3" width="9.28515625" hidden="1" customWidth="1"/>
    <col min="4" max="4" width="9.28515625" customWidth="1"/>
    <col min="5" max="5" width="9.28515625" hidden="1" customWidth="1"/>
    <col min="6" max="6" width="9.28515625" customWidth="1"/>
    <col min="7" max="7" width="9.28515625" hidden="1" customWidth="1"/>
    <col min="8" max="8" width="9.28515625" customWidth="1"/>
    <col min="9" max="9" width="7.85546875" hidden="1" customWidth="1"/>
    <col min="10" max="10" width="7.85546875" bestFit="1" customWidth="1"/>
    <col min="14" max="14" width="2.85546875" customWidth="1"/>
  </cols>
  <sheetData>
    <row r="1" spans="1:16" ht="30" customHeight="1" thickBot="1" x14ac:dyDescent="0.3">
      <c r="A1" s="10" t="s">
        <v>0</v>
      </c>
      <c r="B1" s="21" t="s">
        <v>1</v>
      </c>
      <c r="C1" s="10" t="s">
        <v>2</v>
      </c>
      <c r="D1" s="21" t="s">
        <v>3</v>
      </c>
      <c r="E1" s="10" t="s">
        <v>4</v>
      </c>
      <c r="F1" s="21" t="s">
        <v>5</v>
      </c>
      <c r="G1" s="10" t="s">
        <v>6</v>
      </c>
      <c r="H1" s="21" t="s">
        <v>7</v>
      </c>
      <c r="I1" s="10" t="s">
        <v>8</v>
      </c>
      <c r="J1" s="20" t="s">
        <v>9</v>
      </c>
      <c r="L1" s="28" t="s">
        <v>15</v>
      </c>
      <c r="M1" s="29"/>
    </row>
    <row r="2" spans="1:16" ht="15" customHeight="1" x14ac:dyDescent="0.25">
      <c r="A2" s="1"/>
      <c r="B2" s="17"/>
      <c r="C2" s="18">
        <f>MAX(25-(B2*3),0)</f>
        <v>25</v>
      </c>
      <c r="D2" s="17"/>
      <c r="E2">
        <f>MAX(15-(D2*1.1),0)</f>
        <v>15</v>
      </c>
      <c r="F2" s="17"/>
      <c r="G2" s="19">
        <f>IF(F2=0,0,IF(F2=1,5,IF(F2=2,15,IF(F2=3,20,IF(F2=4,25,30)))))</f>
        <v>0</v>
      </c>
      <c r="H2" s="17"/>
      <c r="I2">
        <f>H2/5*30</f>
        <v>0</v>
      </c>
      <c r="J2" s="8">
        <f>+C2+E2+G2+I2</f>
        <v>40</v>
      </c>
      <c r="L2" s="2" t="s">
        <v>12</v>
      </c>
      <c r="M2" s="3" t="s">
        <v>16</v>
      </c>
      <c r="O2" s="30" t="s">
        <v>19</v>
      </c>
      <c r="P2" s="31"/>
    </row>
    <row r="3" spans="1:16" ht="15" customHeight="1" x14ac:dyDescent="0.25">
      <c r="A3" s="11"/>
      <c r="C3" s="18">
        <f t="shared" ref="C3:C17" si="0">MAX(25-(B3*3),0)</f>
        <v>25</v>
      </c>
      <c r="E3">
        <f t="shared" ref="E3:E17" si="1">MAX(15-(D3*1.1),0)</f>
        <v>15</v>
      </c>
      <c r="G3" s="12">
        <f>IF(F3=0,0,IF(F3=1,5,IF(F3=2,10,IF(F3=3,15,IF(F3=4,20,20)))))</f>
        <v>0</v>
      </c>
      <c r="I3">
        <f>H3/5*30</f>
        <v>0</v>
      </c>
      <c r="J3" s="8">
        <f>+C3+E3+G3+I3</f>
        <v>40</v>
      </c>
      <c r="L3" s="4" t="s">
        <v>13</v>
      </c>
      <c r="M3" s="5" t="s">
        <v>17</v>
      </c>
      <c r="O3" s="32"/>
      <c r="P3" s="33"/>
    </row>
    <row r="4" spans="1:16" ht="15.75" thickBot="1" x14ac:dyDescent="0.3">
      <c r="A4" s="13"/>
      <c r="C4" s="18">
        <f t="shared" si="0"/>
        <v>25</v>
      </c>
      <c r="E4">
        <f t="shared" si="1"/>
        <v>15</v>
      </c>
      <c r="G4" s="12">
        <f t="shared" ref="G4:G17" si="2">IF(F4=0,0,IF(F4=1,5,IF(F4=2,10,IF(F4=3,15,IF(F4=4,20,20)))))</f>
        <v>0</v>
      </c>
      <c r="I4">
        <f t="shared" ref="I4:I17" si="3">H4/5*30</f>
        <v>0</v>
      </c>
      <c r="J4" s="8">
        <f t="shared" ref="J4:J17" si="4">+C4+E4+G4+I4</f>
        <v>40</v>
      </c>
      <c r="L4" s="6" t="s">
        <v>14</v>
      </c>
      <c r="M4" s="7" t="s">
        <v>18</v>
      </c>
      <c r="O4" s="34"/>
      <c r="P4" s="35"/>
    </row>
    <row r="5" spans="1:16" x14ac:dyDescent="0.25">
      <c r="A5" s="11"/>
      <c r="C5" s="18">
        <f t="shared" si="0"/>
        <v>25</v>
      </c>
      <c r="E5">
        <f t="shared" si="1"/>
        <v>15</v>
      </c>
      <c r="G5" s="12">
        <f t="shared" si="2"/>
        <v>0</v>
      </c>
      <c r="I5">
        <f t="shared" si="3"/>
        <v>0</v>
      </c>
      <c r="J5" s="8">
        <f t="shared" si="4"/>
        <v>40</v>
      </c>
    </row>
    <row r="6" spans="1:16" x14ac:dyDescent="0.25">
      <c r="A6" s="13"/>
      <c r="C6" s="18">
        <f t="shared" si="0"/>
        <v>25</v>
      </c>
      <c r="E6">
        <f t="shared" si="1"/>
        <v>15</v>
      </c>
      <c r="G6" s="12">
        <f t="shared" si="2"/>
        <v>0</v>
      </c>
      <c r="I6">
        <f t="shared" si="3"/>
        <v>0</v>
      </c>
      <c r="J6" s="8">
        <f t="shared" si="4"/>
        <v>40</v>
      </c>
    </row>
    <row r="7" spans="1:16" x14ac:dyDescent="0.25">
      <c r="A7" s="11"/>
      <c r="C7" s="18">
        <f t="shared" si="0"/>
        <v>25</v>
      </c>
      <c r="E7">
        <f t="shared" si="1"/>
        <v>15</v>
      </c>
      <c r="G7" s="12">
        <f t="shared" si="2"/>
        <v>0</v>
      </c>
      <c r="I7">
        <f t="shared" si="3"/>
        <v>0</v>
      </c>
      <c r="J7" s="8">
        <f t="shared" si="4"/>
        <v>40</v>
      </c>
    </row>
    <row r="8" spans="1:16" x14ac:dyDescent="0.25">
      <c r="A8" s="13"/>
      <c r="C8" s="18">
        <f t="shared" si="0"/>
        <v>25</v>
      </c>
      <c r="E8">
        <f t="shared" si="1"/>
        <v>15</v>
      </c>
      <c r="G8" s="12">
        <f t="shared" si="2"/>
        <v>0</v>
      </c>
      <c r="I8">
        <f t="shared" si="3"/>
        <v>0</v>
      </c>
      <c r="J8" s="8">
        <f t="shared" si="4"/>
        <v>40</v>
      </c>
    </row>
    <row r="9" spans="1:16" x14ac:dyDescent="0.25">
      <c r="A9" s="11"/>
      <c r="C9" s="18">
        <f t="shared" si="0"/>
        <v>25</v>
      </c>
      <c r="E9">
        <f t="shared" si="1"/>
        <v>15</v>
      </c>
      <c r="G9" s="12">
        <f t="shared" si="2"/>
        <v>0</v>
      </c>
      <c r="I9">
        <f t="shared" si="3"/>
        <v>0</v>
      </c>
      <c r="J9" s="8">
        <f t="shared" si="4"/>
        <v>40</v>
      </c>
    </row>
    <row r="10" spans="1:16" x14ac:dyDescent="0.25">
      <c r="A10" s="13"/>
      <c r="C10" s="18">
        <f t="shared" si="0"/>
        <v>25</v>
      </c>
      <c r="E10">
        <f t="shared" si="1"/>
        <v>15</v>
      </c>
      <c r="G10" s="12">
        <f t="shared" si="2"/>
        <v>0</v>
      </c>
      <c r="I10">
        <f t="shared" si="3"/>
        <v>0</v>
      </c>
      <c r="J10" s="8">
        <f t="shared" si="4"/>
        <v>40</v>
      </c>
    </row>
    <row r="11" spans="1:16" x14ac:dyDescent="0.25">
      <c r="A11" s="11"/>
      <c r="C11" s="18">
        <f t="shared" si="0"/>
        <v>25</v>
      </c>
      <c r="E11">
        <f t="shared" si="1"/>
        <v>15</v>
      </c>
      <c r="G11" s="12">
        <f t="shared" si="2"/>
        <v>0</v>
      </c>
      <c r="I11">
        <f t="shared" si="3"/>
        <v>0</v>
      </c>
      <c r="J11" s="8">
        <f t="shared" si="4"/>
        <v>40</v>
      </c>
    </row>
    <row r="12" spans="1:16" x14ac:dyDescent="0.25">
      <c r="A12" s="13"/>
      <c r="C12" s="18">
        <f t="shared" si="0"/>
        <v>25</v>
      </c>
      <c r="E12">
        <f t="shared" si="1"/>
        <v>15</v>
      </c>
      <c r="G12" s="12">
        <f t="shared" si="2"/>
        <v>0</v>
      </c>
      <c r="I12">
        <f t="shared" si="3"/>
        <v>0</v>
      </c>
      <c r="J12" s="8">
        <f t="shared" si="4"/>
        <v>40</v>
      </c>
    </row>
    <row r="13" spans="1:16" x14ac:dyDescent="0.25">
      <c r="A13" s="11"/>
      <c r="C13" s="18">
        <f t="shared" si="0"/>
        <v>25</v>
      </c>
      <c r="E13">
        <f t="shared" si="1"/>
        <v>15</v>
      </c>
      <c r="G13" s="12">
        <f t="shared" si="2"/>
        <v>0</v>
      </c>
      <c r="I13">
        <f t="shared" si="3"/>
        <v>0</v>
      </c>
      <c r="J13" s="8">
        <f t="shared" si="4"/>
        <v>40</v>
      </c>
    </row>
    <row r="14" spans="1:16" x14ac:dyDescent="0.25">
      <c r="A14" s="13"/>
      <c r="C14" s="18">
        <f t="shared" si="0"/>
        <v>25</v>
      </c>
      <c r="E14">
        <f t="shared" si="1"/>
        <v>15</v>
      </c>
      <c r="G14" s="12">
        <f t="shared" si="2"/>
        <v>0</v>
      </c>
      <c r="I14">
        <f t="shared" si="3"/>
        <v>0</v>
      </c>
      <c r="J14" s="8">
        <f t="shared" si="4"/>
        <v>40</v>
      </c>
    </row>
    <row r="15" spans="1:16" x14ac:dyDescent="0.25">
      <c r="A15" s="11"/>
      <c r="C15" s="18">
        <f t="shared" si="0"/>
        <v>25</v>
      </c>
      <c r="E15">
        <f t="shared" si="1"/>
        <v>15</v>
      </c>
      <c r="G15" s="12">
        <f t="shared" si="2"/>
        <v>0</v>
      </c>
      <c r="I15">
        <f t="shared" si="3"/>
        <v>0</v>
      </c>
      <c r="J15" s="8">
        <f t="shared" si="4"/>
        <v>40</v>
      </c>
    </row>
    <row r="16" spans="1:16" x14ac:dyDescent="0.25">
      <c r="A16" s="13"/>
      <c r="C16" s="18">
        <f t="shared" si="0"/>
        <v>25</v>
      </c>
      <c r="E16">
        <f t="shared" si="1"/>
        <v>15</v>
      </c>
      <c r="G16" s="12">
        <f t="shared" si="2"/>
        <v>0</v>
      </c>
      <c r="I16">
        <f t="shared" si="3"/>
        <v>0</v>
      </c>
      <c r="J16" s="8">
        <f t="shared" si="4"/>
        <v>40</v>
      </c>
    </row>
    <row r="17" spans="1:10" ht="15.75" thickBot="1" x14ac:dyDescent="0.3">
      <c r="A17" s="14"/>
      <c r="B17" s="15"/>
      <c r="C17" s="18">
        <f t="shared" si="0"/>
        <v>25</v>
      </c>
      <c r="D17" s="15"/>
      <c r="E17">
        <f t="shared" si="1"/>
        <v>15</v>
      </c>
      <c r="F17" s="15"/>
      <c r="G17" s="16">
        <f t="shared" si="2"/>
        <v>0</v>
      </c>
      <c r="H17" s="15"/>
      <c r="I17" s="15">
        <f t="shared" si="3"/>
        <v>0</v>
      </c>
      <c r="J17" s="9">
        <f t="shared" si="4"/>
        <v>40</v>
      </c>
    </row>
  </sheetData>
  <mergeCells count="2">
    <mergeCell ref="L1:M1"/>
    <mergeCell ref="O2:P4"/>
  </mergeCells>
  <conditionalFormatting sqref="J2:J17">
    <cfRule type="cellIs" dxfId="5" priority="1" operator="between">
      <formula>60</formula>
      <formula>100</formula>
    </cfRule>
    <cfRule type="cellIs" dxfId="4" priority="2" operator="between">
      <formula>0</formula>
      <formula>39</formula>
    </cfRule>
    <cfRule type="cellIs" dxfId="3" priority="4" operator="between">
      <formula>40</formula>
      <formula>59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ECB5-DAC5-4390-B970-EFDFE10B5AF6}">
  <dimension ref="A1:P20"/>
  <sheetViews>
    <sheetView workbookViewId="0"/>
  </sheetViews>
  <sheetFormatPr baseColWidth="10" defaultColWidth="10.7109375" defaultRowHeight="15" x14ac:dyDescent="0.25"/>
  <cols>
    <col min="1" max="1" width="25.7109375" customWidth="1"/>
    <col min="2" max="2" width="9.28515625" customWidth="1"/>
    <col min="3" max="3" width="9.28515625" hidden="1" customWidth="1"/>
    <col min="4" max="4" width="9.28515625" customWidth="1"/>
    <col min="5" max="5" width="9.28515625" hidden="1" customWidth="1"/>
    <col min="6" max="6" width="9.28515625" customWidth="1"/>
    <col min="7" max="7" width="9.28515625" hidden="1" customWidth="1"/>
    <col min="8" max="8" width="9.28515625" customWidth="1"/>
    <col min="9" max="9" width="6.7109375" hidden="1" customWidth="1"/>
    <col min="10" max="10" width="7.85546875" customWidth="1"/>
    <col min="14" max="14" width="2.85546875" customWidth="1"/>
  </cols>
  <sheetData>
    <row r="1" spans="1:16" ht="29.25" customHeight="1" thickBot="1" x14ac:dyDescent="0.3">
      <c r="A1" s="10" t="s">
        <v>0</v>
      </c>
      <c r="B1" s="21" t="s">
        <v>1</v>
      </c>
      <c r="C1" s="21" t="s">
        <v>2</v>
      </c>
      <c r="D1" s="21" t="s">
        <v>10</v>
      </c>
      <c r="E1" s="21" t="s">
        <v>4</v>
      </c>
      <c r="F1" s="21" t="s">
        <v>11</v>
      </c>
      <c r="G1" s="21" t="s">
        <v>6</v>
      </c>
      <c r="H1" s="21" t="s">
        <v>7</v>
      </c>
      <c r="I1" s="21" t="s">
        <v>8</v>
      </c>
      <c r="J1" s="20" t="s">
        <v>9</v>
      </c>
      <c r="L1" s="28" t="s">
        <v>15</v>
      </c>
      <c r="M1" s="29"/>
    </row>
    <row r="2" spans="1:16" x14ac:dyDescent="0.25">
      <c r="A2" s="22"/>
      <c r="B2" s="23"/>
      <c r="C2" s="23">
        <f>MAX(15-(B2*3),0)</f>
        <v>15</v>
      </c>
      <c r="D2" s="23"/>
      <c r="E2" s="23">
        <f>MAX(15-(D2*1.1),0)</f>
        <v>15</v>
      </c>
      <c r="F2" s="23"/>
      <c r="G2" s="23">
        <f>MAX(10-(F2*1.1),0)</f>
        <v>10</v>
      </c>
      <c r="H2" s="23"/>
      <c r="I2" s="23">
        <f>H2/5*50</f>
        <v>0</v>
      </c>
      <c r="J2" s="24">
        <f>I2+G2+E2+C2</f>
        <v>40</v>
      </c>
      <c r="L2" s="2" t="s">
        <v>12</v>
      </c>
      <c r="M2" s="3" t="s">
        <v>16</v>
      </c>
      <c r="O2" s="30" t="s">
        <v>19</v>
      </c>
      <c r="P2" s="31"/>
    </row>
    <row r="3" spans="1:16" x14ac:dyDescent="0.25">
      <c r="A3" s="22"/>
      <c r="B3" s="23"/>
      <c r="C3" s="23">
        <f t="shared" ref="C3:C20" si="0">MAX(15-(B3*3),0)</f>
        <v>15</v>
      </c>
      <c r="D3" s="23"/>
      <c r="E3" s="23">
        <f t="shared" ref="E3:E20" si="1">MAX(15-(D3*1.1),0)</f>
        <v>15</v>
      </c>
      <c r="F3" s="23"/>
      <c r="G3" s="23">
        <f t="shared" ref="G3:G20" si="2">MAX(10-(F3*1.1),0)</f>
        <v>10</v>
      </c>
      <c r="H3" s="23"/>
      <c r="I3" s="23">
        <f t="shared" ref="I3:I20" si="3">H3/5*50</f>
        <v>0</v>
      </c>
      <c r="J3" s="24">
        <f t="shared" ref="J3:J20" si="4">I3+G3+E3+C3</f>
        <v>40</v>
      </c>
      <c r="L3" s="4" t="s">
        <v>13</v>
      </c>
      <c r="M3" s="5" t="s">
        <v>17</v>
      </c>
      <c r="O3" s="32"/>
      <c r="P3" s="33"/>
    </row>
    <row r="4" spans="1:16" ht="15.75" thickBot="1" x14ac:dyDescent="0.3">
      <c r="A4" s="22"/>
      <c r="B4" s="23"/>
      <c r="C4" s="23">
        <f t="shared" si="0"/>
        <v>15</v>
      </c>
      <c r="D4" s="23"/>
      <c r="E4" s="23">
        <f t="shared" si="1"/>
        <v>15</v>
      </c>
      <c r="F4" s="23"/>
      <c r="G4" s="23">
        <f t="shared" si="2"/>
        <v>10</v>
      </c>
      <c r="H4" s="23"/>
      <c r="I4" s="23">
        <f t="shared" si="3"/>
        <v>0</v>
      </c>
      <c r="J4" s="24">
        <f t="shared" si="4"/>
        <v>40</v>
      </c>
      <c r="L4" s="6" t="s">
        <v>14</v>
      </c>
      <c r="M4" s="7" t="s">
        <v>18</v>
      </c>
      <c r="O4" s="34"/>
      <c r="P4" s="35"/>
    </row>
    <row r="5" spans="1:16" x14ac:dyDescent="0.25">
      <c r="A5" s="22"/>
      <c r="B5" s="23"/>
      <c r="C5" s="23">
        <f t="shared" si="0"/>
        <v>15</v>
      </c>
      <c r="D5" s="23"/>
      <c r="E5" s="23">
        <f t="shared" si="1"/>
        <v>15</v>
      </c>
      <c r="F5" s="23"/>
      <c r="G5" s="23">
        <f t="shared" si="2"/>
        <v>10</v>
      </c>
      <c r="H5" s="23"/>
      <c r="I5" s="23">
        <f t="shared" si="3"/>
        <v>0</v>
      </c>
      <c r="J5" s="24">
        <f t="shared" si="4"/>
        <v>40</v>
      </c>
    </row>
    <row r="6" spans="1:16" x14ac:dyDescent="0.25">
      <c r="A6" s="22"/>
      <c r="B6" s="23"/>
      <c r="C6" s="23">
        <f t="shared" si="0"/>
        <v>15</v>
      </c>
      <c r="D6" s="23"/>
      <c r="E6" s="23">
        <f t="shared" si="1"/>
        <v>15</v>
      </c>
      <c r="F6" s="23"/>
      <c r="G6" s="23">
        <f t="shared" si="2"/>
        <v>10</v>
      </c>
      <c r="H6" s="23"/>
      <c r="I6" s="23">
        <f t="shared" si="3"/>
        <v>0</v>
      </c>
      <c r="J6" s="24">
        <f t="shared" si="4"/>
        <v>40</v>
      </c>
    </row>
    <row r="7" spans="1:16" x14ac:dyDescent="0.25">
      <c r="A7" s="22"/>
      <c r="B7" s="23"/>
      <c r="C7" s="23">
        <f t="shared" si="0"/>
        <v>15</v>
      </c>
      <c r="D7" s="23"/>
      <c r="E7" s="23">
        <f t="shared" si="1"/>
        <v>15</v>
      </c>
      <c r="F7" s="23"/>
      <c r="G7" s="23">
        <f t="shared" si="2"/>
        <v>10</v>
      </c>
      <c r="H7" s="23"/>
      <c r="I7" s="23">
        <f t="shared" si="3"/>
        <v>0</v>
      </c>
      <c r="J7" s="24">
        <f t="shared" si="4"/>
        <v>40</v>
      </c>
    </row>
    <row r="8" spans="1:16" x14ac:dyDescent="0.25">
      <c r="A8" s="22"/>
      <c r="B8" s="23"/>
      <c r="C8" s="23">
        <f t="shared" si="0"/>
        <v>15</v>
      </c>
      <c r="D8" s="23"/>
      <c r="E8" s="23">
        <f t="shared" si="1"/>
        <v>15</v>
      </c>
      <c r="F8" s="23"/>
      <c r="G8" s="23">
        <f t="shared" si="2"/>
        <v>10</v>
      </c>
      <c r="H8" s="23"/>
      <c r="I8" s="23">
        <f t="shared" si="3"/>
        <v>0</v>
      </c>
      <c r="J8" s="24">
        <f t="shared" si="4"/>
        <v>40</v>
      </c>
    </row>
    <row r="9" spans="1:16" x14ac:dyDescent="0.25">
      <c r="A9" s="22"/>
      <c r="B9" s="23"/>
      <c r="C9" s="23">
        <f t="shared" si="0"/>
        <v>15</v>
      </c>
      <c r="D9" s="23"/>
      <c r="E9" s="23">
        <f t="shared" si="1"/>
        <v>15</v>
      </c>
      <c r="F9" s="23"/>
      <c r="G9" s="23">
        <f t="shared" si="2"/>
        <v>10</v>
      </c>
      <c r="H9" s="23"/>
      <c r="I9" s="23">
        <f t="shared" si="3"/>
        <v>0</v>
      </c>
      <c r="J9" s="24">
        <f t="shared" si="4"/>
        <v>40</v>
      </c>
    </row>
    <row r="10" spans="1:16" x14ac:dyDescent="0.25">
      <c r="A10" s="22"/>
      <c r="B10" s="23"/>
      <c r="C10" s="23">
        <f t="shared" si="0"/>
        <v>15</v>
      </c>
      <c r="D10" s="23"/>
      <c r="E10" s="23">
        <f t="shared" si="1"/>
        <v>15</v>
      </c>
      <c r="F10" s="23"/>
      <c r="G10" s="23">
        <f t="shared" si="2"/>
        <v>10</v>
      </c>
      <c r="H10" s="23"/>
      <c r="I10" s="23">
        <f t="shared" si="3"/>
        <v>0</v>
      </c>
      <c r="J10" s="24">
        <f t="shared" si="4"/>
        <v>40</v>
      </c>
    </row>
    <row r="11" spans="1:16" x14ac:dyDescent="0.25">
      <c r="A11" s="22"/>
      <c r="B11" s="23"/>
      <c r="C11" s="23">
        <f t="shared" si="0"/>
        <v>15</v>
      </c>
      <c r="D11" s="23"/>
      <c r="E11" s="23">
        <f t="shared" si="1"/>
        <v>15</v>
      </c>
      <c r="F11" s="23"/>
      <c r="G11" s="23">
        <f t="shared" si="2"/>
        <v>10</v>
      </c>
      <c r="H11" s="23"/>
      <c r="I11" s="23">
        <f t="shared" si="3"/>
        <v>0</v>
      </c>
      <c r="J11" s="24">
        <f t="shared" si="4"/>
        <v>40</v>
      </c>
    </row>
    <row r="12" spans="1:16" x14ac:dyDescent="0.25">
      <c r="A12" s="22"/>
      <c r="B12" s="23"/>
      <c r="C12" s="23">
        <f t="shared" si="0"/>
        <v>15</v>
      </c>
      <c r="D12" s="23"/>
      <c r="E12" s="23">
        <f t="shared" si="1"/>
        <v>15</v>
      </c>
      <c r="F12" s="23"/>
      <c r="G12" s="23">
        <f t="shared" si="2"/>
        <v>10</v>
      </c>
      <c r="H12" s="23"/>
      <c r="I12" s="23">
        <f t="shared" si="3"/>
        <v>0</v>
      </c>
      <c r="J12" s="24">
        <f t="shared" si="4"/>
        <v>40</v>
      </c>
    </row>
    <row r="13" spans="1:16" x14ac:dyDescent="0.25">
      <c r="A13" s="22"/>
      <c r="B13" s="23"/>
      <c r="C13" s="23">
        <f t="shared" si="0"/>
        <v>15</v>
      </c>
      <c r="D13" s="23"/>
      <c r="E13" s="23">
        <f t="shared" si="1"/>
        <v>15</v>
      </c>
      <c r="F13" s="23"/>
      <c r="G13" s="23">
        <f t="shared" si="2"/>
        <v>10</v>
      </c>
      <c r="H13" s="23"/>
      <c r="I13" s="23">
        <f t="shared" si="3"/>
        <v>0</v>
      </c>
      <c r="J13" s="24">
        <f t="shared" si="4"/>
        <v>40</v>
      </c>
    </row>
    <row r="14" spans="1:16" x14ac:dyDescent="0.25">
      <c r="A14" s="22"/>
      <c r="B14" s="23"/>
      <c r="C14" s="23">
        <f t="shared" si="0"/>
        <v>15</v>
      </c>
      <c r="D14" s="23"/>
      <c r="E14" s="23">
        <f t="shared" si="1"/>
        <v>15</v>
      </c>
      <c r="F14" s="23"/>
      <c r="G14" s="23">
        <f t="shared" si="2"/>
        <v>10</v>
      </c>
      <c r="H14" s="23"/>
      <c r="I14" s="23">
        <f t="shared" si="3"/>
        <v>0</v>
      </c>
      <c r="J14" s="24">
        <f t="shared" si="4"/>
        <v>40</v>
      </c>
    </row>
    <row r="15" spans="1:16" x14ac:dyDescent="0.25">
      <c r="A15" s="22"/>
      <c r="B15" s="23"/>
      <c r="C15" s="23">
        <f t="shared" si="0"/>
        <v>15</v>
      </c>
      <c r="D15" s="23"/>
      <c r="E15" s="23">
        <f t="shared" si="1"/>
        <v>15</v>
      </c>
      <c r="F15" s="23"/>
      <c r="G15" s="23">
        <f t="shared" si="2"/>
        <v>10</v>
      </c>
      <c r="H15" s="23"/>
      <c r="I15" s="23">
        <f t="shared" si="3"/>
        <v>0</v>
      </c>
      <c r="J15" s="24">
        <f t="shared" si="4"/>
        <v>40</v>
      </c>
    </row>
    <row r="16" spans="1:16" x14ac:dyDescent="0.25">
      <c r="A16" s="22"/>
      <c r="B16" s="23"/>
      <c r="C16" s="23">
        <f t="shared" si="0"/>
        <v>15</v>
      </c>
      <c r="D16" s="23"/>
      <c r="E16" s="23">
        <f t="shared" si="1"/>
        <v>15</v>
      </c>
      <c r="F16" s="23"/>
      <c r="G16" s="23">
        <f t="shared" si="2"/>
        <v>10</v>
      </c>
      <c r="H16" s="23"/>
      <c r="I16" s="23">
        <f t="shared" si="3"/>
        <v>0</v>
      </c>
      <c r="J16" s="24">
        <f t="shared" si="4"/>
        <v>40</v>
      </c>
    </row>
    <row r="17" spans="1:10" x14ac:dyDescent="0.25">
      <c r="A17" s="22"/>
      <c r="B17" s="23"/>
      <c r="C17" s="23">
        <f t="shared" si="0"/>
        <v>15</v>
      </c>
      <c r="D17" s="23"/>
      <c r="E17" s="23">
        <f t="shared" si="1"/>
        <v>15</v>
      </c>
      <c r="F17" s="23"/>
      <c r="G17" s="23">
        <f t="shared" si="2"/>
        <v>10</v>
      </c>
      <c r="H17" s="23"/>
      <c r="I17" s="23">
        <f t="shared" si="3"/>
        <v>0</v>
      </c>
      <c r="J17" s="24">
        <f t="shared" si="4"/>
        <v>40</v>
      </c>
    </row>
    <row r="18" spans="1:10" x14ac:dyDescent="0.25">
      <c r="A18" s="22"/>
      <c r="B18" s="23"/>
      <c r="C18" s="23">
        <f t="shared" si="0"/>
        <v>15</v>
      </c>
      <c r="D18" s="23"/>
      <c r="E18" s="23">
        <f t="shared" si="1"/>
        <v>15</v>
      </c>
      <c r="F18" s="23"/>
      <c r="G18" s="23">
        <f t="shared" si="2"/>
        <v>10</v>
      </c>
      <c r="H18" s="23"/>
      <c r="I18" s="23">
        <f t="shared" si="3"/>
        <v>0</v>
      </c>
      <c r="J18" s="24">
        <f t="shared" si="4"/>
        <v>40</v>
      </c>
    </row>
    <row r="19" spans="1:10" x14ac:dyDescent="0.25">
      <c r="A19" s="22"/>
      <c r="B19" s="23"/>
      <c r="C19" s="23">
        <f t="shared" si="0"/>
        <v>15</v>
      </c>
      <c r="D19" s="23"/>
      <c r="E19" s="23">
        <f t="shared" si="1"/>
        <v>15</v>
      </c>
      <c r="F19" s="23"/>
      <c r="G19" s="23">
        <f t="shared" si="2"/>
        <v>10</v>
      </c>
      <c r="H19" s="23"/>
      <c r="I19" s="23">
        <f t="shared" si="3"/>
        <v>0</v>
      </c>
      <c r="J19" s="24">
        <f t="shared" si="4"/>
        <v>40</v>
      </c>
    </row>
    <row r="20" spans="1:10" ht="15.75" thickBot="1" x14ac:dyDescent="0.3">
      <c r="A20" s="25"/>
      <c r="B20" s="26"/>
      <c r="C20" s="23">
        <f t="shared" si="0"/>
        <v>15</v>
      </c>
      <c r="D20" s="26"/>
      <c r="E20" s="23">
        <f t="shared" si="1"/>
        <v>15</v>
      </c>
      <c r="F20" s="26"/>
      <c r="G20" s="23">
        <f t="shared" si="2"/>
        <v>10</v>
      </c>
      <c r="H20" s="26"/>
      <c r="I20" s="23">
        <f t="shared" si="3"/>
        <v>0</v>
      </c>
      <c r="J20" s="27">
        <f t="shared" si="4"/>
        <v>40</v>
      </c>
    </row>
  </sheetData>
  <mergeCells count="2">
    <mergeCell ref="L1:M1"/>
    <mergeCell ref="O2:P4"/>
  </mergeCells>
  <conditionalFormatting sqref="J2:J20">
    <cfRule type="cellIs" dxfId="2" priority="1" operator="between">
      <formula>0</formula>
      <formula>39</formula>
    </cfRule>
    <cfRule type="cellIs" dxfId="1" priority="2" operator="between">
      <formula>40</formula>
      <formula>59</formula>
    </cfRule>
    <cfRule type="cellIs" dxfId="0" priority="4" operator="greaterThan">
      <formula>60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Mensuales</vt:lpstr>
      <vt:lpstr>Quincenal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 1</dc:creator>
  <cp:lastModifiedBy>Valentin Angulo</cp:lastModifiedBy>
  <cp:lastPrinted>2026-01-22T12:28:48Z</cp:lastPrinted>
  <dcterms:created xsi:type="dcterms:W3CDTF">2015-06-05T18:19:34Z</dcterms:created>
  <dcterms:modified xsi:type="dcterms:W3CDTF">2026-02-05T15:59:46Z</dcterms:modified>
</cp:coreProperties>
</file>